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esktop\"/>
    </mc:Choice>
  </mc:AlternateContent>
  <xr:revisionPtr revIDLastSave="0" documentId="13_ncr:1_{4E50BE8D-244B-4566-A14A-D2EA78FCF725}" xr6:coauthVersionLast="47" xr6:coauthVersionMax="47" xr10:uidLastSave="{00000000-0000-0000-0000-000000000000}"/>
  <bookViews>
    <workbookView xWindow="28695" yWindow="-5295" windowWidth="26010" windowHeight="20985" xr2:uid="{5DF6BF0F-576E-4235-A3F4-3A36D2D7780D}"/>
  </bookViews>
  <sheets>
    <sheet name="Signale" sheetId="1" r:id="rId1"/>
    <sheet name="NT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7" i="1" l="1"/>
  <c r="B26" i="1"/>
  <c r="G25" i="1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10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D23" i="1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" i="2"/>
  <c r="A43" i="2"/>
  <c r="A44" i="2" s="1"/>
  <c r="A32" i="2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6" i="2"/>
  <c r="A7" i="2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5" i="2"/>
</calcChain>
</file>

<file path=xl/sharedStrings.xml><?xml version="1.0" encoding="utf-8"?>
<sst xmlns="http://schemas.openxmlformats.org/spreadsheetml/2006/main" count="154" uniqueCount="56">
  <si>
    <t>Inbetriebnahme Wolfspeed Interface PCB Rev04</t>
  </si>
  <si>
    <t>Pin</t>
  </si>
  <si>
    <t>Signal</t>
  </si>
  <si>
    <t>IU_MEAS</t>
  </si>
  <si>
    <t>IV_MEAS</t>
  </si>
  <si>
    <t>IW_MEAS</t>
  </si>
  <si>
    <t>Range</t>
  </si>
  <si>
    <t>GD_DIS</t>
  </si>
  <si>
    <t>HIGH/LOW</t>
  </si>
  <si>
    <t>NTC_ISO</t>
  </si>
  <si>
    <t>Input NTC_ISO in V</t>
  </si>
  <si>
    <t>dutyCycle in %</t>
  </si>
  <si>
    <t>0…3,3V</t>
  </si>
  <si>
    <t>VDC_MEAS</t>
  </si>
  <si>
    <t>0...3,3V</t>
  </si>
  <si>
    <t>0…2,0V</t>
  </si>
  <si>
    <t>Richtung</t>
  </si>
  <si>
    <t>Input</t>
  </si>
  <si>
    <t>Output</t>
  </si>
  <si>
    <t>FAN1_OUT</t>
  </si>
  <si>
    <t>FAN2_OUT</t>
  </si>
  <si>
    <t>U_HS_PWM</t>
  </si>
  <si>
    <t>W_HS_PWM</t>
  </si>
  <si>
    <t>U_LS_PWM</t>
  </si>
  <si>
    <t>W_LS_PWM</t>
  </si>
  <si>
    <t>V_HS_PWM</t>
  </si>
  <si>
    <t>V_LS_PWM</t>
  </si>
  <si>
    <t>Temp in °C</t>
  </si>
  <si>
    <t>Linearer Bereich</t>
  </si>
  <si>
    <t>Gleichung aus Wolfspeed Inverter Doku. Nicht validiert, ob diese für das NTC_ISO Signal von Inverter Rev02 mit Interface Rev04 übereinstimmt!!!</t>
  </si>
  <si>
    <t>Check</t>
  </si>
  <si>
    <t>OK</t>
  </si>
  <si>
    <t>LO_OC_REF</t>
  </si>
  <si>
    <t>V</t>
  </si>
  <si>
    <t>HI_OC_REF</t>
  </si>
  <si>
    <t xml:space="preserve">V </t>
  </si>
  <si>
    <t>OC headroom to rail</t>
  </si>
  <si>
    <t>OC headroom from 0</t>
  </si>
  <si>
    <t>Check OK = Für Output: Signal kommt an erwartetem Pin an; Für Input: Konstante Spannung am Input über den Messbereich führt zu erwartetem ADC Messwert</t>
  </si>
  <si>
    <t>lin.Reg.</t>
  </si>
  <si>
    <t>Temp error</t>
  </si>
  <si>
    <t>#1</t>
  </si>
  <si>
    <t>#2</t>
  </si>
  <si>
    <t>#3</t>
  </si>
  <si>
    <t>#4</t>
  </si>
  <si>
    <t>#5</t>
  </si>
  <si>
    <t>Seriennummer</t>
  </si>
  <si>
    <t>OC latch</t>
  </si>
  <si>
    <t>Für #1 gemessen</t>
  </si>
  <si>
    <t>Kennlinie NTC_ISO zu PWM duty cycle für PCB #1</t>
  </si>
  <si>
    <t>almost symmetrical,
matches ca. +/- 49 A</t>
  </si>
  <si>
    <t>Trip limits</t>
  </si>
  <si>
    <t>pos</t>
  </si>
  <si>
    <t>neg</t>
  </si>
  <si>
    <t>V/A</t>
  </si>
  <si>
    <t>A/V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</si>
</sst>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0" fontId="1" fillId="0" borderId="0" xfId="0" applyFont="1"/>
    <xf numFmtId="0" fontId="0" fillId="4" borderId="0" xfId="0" applyFill="1"/>
    <xf numFmtId="0" fontId="0" fillId="0" borderId="1" xfId="0" applyBorder="1"/>
    <xf numFmtId="0" fontId="2" fillId="2" borderId="0" xfId="0" applyFont="1" applyFill="1" applyAlignment="1">
      <alignment horizontal="center" vertical="center" textRotation="90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quotePrefix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dutyCycle in % über NTC_ISO Spannung in 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NTC!$B$3</c:f>
              <c:strCache>
                <c:ptCount val="1"/>
                <c:pt idx="0">
                  <c:v>dutyCycle in %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NTC!$A$4:$A$44</c:f>
              <c:numCache>
                <c:formatCode>0.00</c:formatCode>
                <c:ptCount val="4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0.39999999999999997</c:v>
                </c:pt>
                <c:pt idx="9">
                  <c:v>0.44999999999999996</c:v>
                </c:pt>
                <c:pt idx="10">
                  <c:v>0.49999999999999994</c:v>
                </c:pt>
                <c:pt idx="11">
                  <c:v>0.54999999999999993</c:v>
                </c:pt>
                <c:pt idx="12">
                  <c:v>0.6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0.75000000000000011</c:v>
                </c:pt>
                <c:pt idx="16">
                  <c:v>0.80000000000000016</c:v>
                </c:pt>
                <c:pt idx="17">
                  <c:v>0.8500000000000002</c:v>
                </c:pt>
                <c:pt idx="18">
                  <c:v>0.90000000000000024</c:v>
                </c:pt>
                <c:pt idx="19">
                  <c:v>0.95000000000000029</c:v>
                </c:pt>
                <c:pt idx="20">
                  <c:v>1.0000000000000002</c:v>
                </c:pt>
                <c:pt idx="21">
                  <c:v>1.0500000000000003</c:v>
                </c:pt>
                <c:pt idx="22">
                  <c:v>1.1000000000000003</c:v>
                </c:pt>
                <c:pt idx="23">
                  <c:v>1.1500000000000004</c:v>
                </c:pt>
                <c:pt idx="24">
                  <c:v>1.2000000000000004</c:v>
                </c:pt>
                <c:pt idx="25">
                  <c:v>1.2500000000000004</c:v>
                </c:pt>
                <c:pt idx="26">
                  <c:v>1.3000000000000005</c:v>
                </c:pt>
                <c:pt idx="27">
                  <c:v>1.3500000000000005</c:v>
                </c:pt>
                <c:pt idx="28">
                  <c:v>1.4000000000000006</c:v>
                </c:pt>
                <c:pt idx="29">
                  <c:v>1.4500000000000006</c:v>
                </c:pt>
                <c:pt idx="30">
                  <c:v>1.5000000000000007</c:v>
                </c:pt>
                <c:pt idx="31">
                  <c:v>1.5500000000000007</c:v>
                </c:pt>
                <c:pt idx="32">
                  <c:v>1.6000000000000008</c:v>
                </c:pt>
                <c:pt idx="33">
                  <c:v>1.6500000000000008</c:v>
                </c:pt>
                <c:pt idx="34">
                  <c:v>1.7000000000000008</c:v>
                </c:pt>
                <c:pt idx="35">
                  <c:v>1.7500000000000009</c:v>
                </c:pt>
                <c:pt idx="36">
                  <c:v>1.8000000000000009</c:v>
                </c:pt>
                <c:pt idx="37">
                  <c:v>1.850000000000001</c:v>
                </c:pt>
                <c:pt idx="38">
                  <c:v>1.900000000000001</c:v>
                </c:pt>
                <c:pt idx="39">
                  <c:v>1.9500000000000011</c:v>
                </c:pt>
                <c:pt idx="40">
                  <c:v>2.0000000000000009</c:v>
                </c:pt>
              </c:numCache>
            </c:numRef>
          </c:xVal>
          <c:yVal>
            <c:numRef>
              <c:f>NTC!$B$4:$B$44</c:f>
              <c:numCache>
                <c:formatCode>0.00</c:formatCode>
                <c:ptCount val="41"/>
                <c:pt idx="0">
                  <c:v>93.05</c:v>
                </c:pt>
                <c:pt idx="1">
                  <c:v>93.05</c:v>
                </c:pt>
                <c:pt idx="2">
                  <c:v>93.02</c:v>
                </c:pt>
                <c:pt idx="3">
                  <c:v>92.99</c:v>
                </c:pt>
                <c:pt idx="4">
                  <c:v>92.95</c:v>
                </c:pt>
                <c:pt idx="5">
                  <c:v>92.89</c:v>
                </c:pt>
                <c:pt idx="6">
                  <c:v>92</c:v>
                </c:pt>
                <c:pt idx="7">
                  <c:v>88.85</c:v>
                </c:pt>
                <c:pt idx="8">
                  <c:v>85.75</c:v>
                </c:pt>
                <c:pt idx="9">
                  <c:v>82.65</c:v>
                </c:pt>
                <c:pt idx="10">
                  <c:v>79.489999999999995</c:v>
                </c:pt>
                <c:pt idx="11">
                  <c:v>76.37</c:v>
                </c:pt>
                <c:pt idx="12">
                  <c:v>73.349999999999994</c:v>
                </c:pt>
                <c:pt idx="13">
                  <c:v>70.239999999999995</c:v>
                </c:pt>
                <c:pt idx="14">
                  <c:v>67.650000000000006</c:v>
                </c:pt>
                <c:pt idx="15">
                  <c:v>64.47</c:v>
                </c:pt>
                <c:pt idx="16">
                  <c:v>61.3</c:v>
                </c:pt>
                <c:pt idx="17">
                  <c:v>58.18</c:v>
                </c:pt>
                <c:pt idx="18">
                  <c:v>55.13</c:v>
                </c:pt>
                <c:pt idx="19">
                  <c:v>52.06</c:v>
                </c:pt>
                <c:pt idx="20">
                  <c:v>48.94</c:v>
                </c:pt>
                <c:pt idx="21">
                  <c:v>45.86</c:v>
                </c:pt>
                <c:pt idx="22">
                  <c:v>42.75</c:v>
                </c:pt>
                <c:pt idx="23">
                  <c:v>39.82</c:v>
                </c:pt>
                <c:pt idx="24">
                  <c:v>36.58</c:v>
                </c:pt>
                <c:pt idx="25">
                  <c:v>33.380000000000003</c:v>
                </c:pt>
                <c:pt idx="26">
                  <c:v>30.82</c:v>
                </c:pt>
                <c:pt idx="27">
                  <c:v>27.76</c:v>
                </c:pt>
                <c:pt idx="28">
                  <c:v>24.68</c:v>
                </c:pt>
                <c:pt idx="29">
                  <c:v>21.78</c:v>
                </c:pt>
                <c:pt idx="30">
                  <c:v>18.62</c:v>
                </c:pt>
                <c:pt idx="31">
                  <c:v>15.47</c:v>
                </c:pt>
                <c:pt idx="32">
                  <c:v>12.42</c:v>
                </c:pt>
                <c:pt idx="33">
                  <c:v>9.36</c:v>
                </c:pt>
                <c:pt idx="34">
                  <c:v>6.28</c:v>
                </c:pt>
                <c:pt idx="35">
                  <c:v>4.95</c:v>
                </c:pt>
                <c:pt idx="36">
                  <c:v>4.93</c:v>
                </c:pt>
                <c:pt idx="37">
                  <c:v>4.93</c:v>
                </c:pt>
                <c:pt idx="38">
                  <c:v>4.92</c:v>
                </c:pt>
                <c:pt idx="39">
                  <c:v>4.92</c:v>
                </c:pt>
                <c:pt idx="40">
                  <c:v>4.92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BB-46E4-8A54-EF3C201EB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59888"/>
        <c:axId val="91888144"/>
      </c:scatterChart>
      <c:valAx>
        <c:axId val="98559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888144"/>
        <c:crosses val="autoZero"/>
        <c:crossBetween val="midCat"/>
      </c:valAx>
      <c:valAx>
        <c:axId val="9188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8559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Temp in °C über dutyCycle</a:t>
            </a:r>
          </a:p>
          <a:p>
            <a:pPr>
              <a:defRPr/>
            </a:pPr>
            <a:r>
              <a:rPr lang="de-DE"/>
              <a:t>Linearer Bereich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1.1106955380577427E-2"/>
                  <c:y val="-0.579158532602779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de-DE"/>
                </a:p>
              </c:txPr>
            </c:trendlineLbl>
          </c:trendline>
          <c:xVal>
            <c:numRef>
              <c:f>NTC!$B$10:$B$38</c:f>
              <c:numCache>
                <c:formatCode>0.00</c:formatCode>
                <c:ptCount val="29"/>
                <c:pt idx="0">
                  <c:v>92</c:v>
                </c:pt>
                <c:pt idx="1">
                  <c:v>88.85</c:v>
                </c:pt>
                <c:pt idx="2">
                  <c:v>85.75</c:v>
                </c:pt>
                <c:pt idx="3">
                  <c:v>82.65</c:v>
                </c:pt>
                <c:pt idx="4">
                  <c:v>79.489999999999995</c:v>
                </c:pt>
                <c:pt idx="5">
                  <c:v>76.37</c:v>
                </c:pt>
                <c:pt idx="6">
                  <c:v>73.349999999999994</c:v>
                </c:pt>
                <c:pt idx="7">
                  <c:v>70.239999999999995</c:v>
                </c:pt>
                <c:pt idx="8">
                  <c:v>67.650000000000006</c:v>
                </c:pt>
                <c:pt idx="9">
                  <c:v>64.47</c:v>
                </c:pt>
                <c:pt idx="10">
                  <c:v>61.3</c:v>
                </c:pt>
                <c:pt idx="11">
                  <c:v>58.18</c:v>
                </c:pt>
                <c:pt idx="12">
                  <c:v>55.13</c:v>
                </c:pt>
                <c:pt idx="13">
                  <c:v>52.06</c:v>
                </c:pt>
                <c:pt idx="14">
                  <c:v>48.94</c:v>
                </c:pt>
                <c:pt idx="15">
                  <c:v>45.86</c:v>
                </c:pt>
                <c:pt idx="16">
                  <c:v>42.75</c:v>
                </c:pt>
                <c:pt idx="17">
                  <c:v>39.82</c:v>
                </c:pt>
                <c:pt idx="18">
                  <c:v>36.58</c:v>
                </c:pt>
                <c:pt idx="19">
                  <c:v>33.380000000000003</c:v>
                </c:pt>
                <c:pt idx="20">
                  <c:v>30.82</c:v>
                </c:pt>
                <c:pt idx="21">
                  <c:v>27.76</c:v>
                </c:pt>
                <c:pt idx="22">
                  <c:v>24.68</c:v>
                </c:pt>
                <c:pt idx="23">
                  <c:v>21.78</c:v>
                </c:pt>
                <c:pt idx="24">
                  <c:v>18.62</c:v>
                </c:pt>
                <c:pt idx="25">
                  <c:v>15.47</c:v>
                </c:pt>
                <c:pt idx="26">
                  <c:v>12.42</c:v>
                </c:pt>
                <c:pt idx="27">
                  <c:v>9.36</c:v>
                </c:pt>
                <c:pt idx="28">
                  <c:v>6.28</c:v>
                </c:pt>
              </c:numCache>
            </c:numRef>
          </c:xVal>
          <c:yVal>
            <c:numRef>
              <c:f>NTC!$C$10:$C$38</c:f>
              <c:numCache>
                <c:formatCode>0.00</c:formatCode>
                <c:ptCount val="29"/>
                <c:pt idx="0">
                  <c:v>7.9665933440000174</c:v>
                </c:pt>
                <c:pt idx="1">
                  <c:v>19.713728074228726</c:v>
                </c:pt>
                <c:pt idx="2">
                  <c:v>30.247141835797009</c:v>
                </c:pt>
                <c:pt idx="3">
                  <c:v>39.838175822850104</c:v>
                </c:pt>
                <c:pt idx="4">
                  <c:v>48.723912073134187</c:v>
                </c:pt>
                <c:pt idx="5">
                  <c:v>56.693108764690294</c:v>
                </c:pt>
                <c:pt idx="6">
                  <c:v>63.71950633593994</c:v>
                </c:pt>
                <c:pt idx="7">
                  <c:v>70.32381824858939</c:v>
                </c:pt>
                <c:pt idx="8">
                  <c:v>75.38978188593768</c:v>
                </c:pt>
                <c:pt idx="9">
                  <c:v>81.139753228494357</c:v>
                </c:pt>
                <c:pt idx="10">
                  <c:v>86.432776369961033</c:v>
                </c:pt>
                <c:pt idx="11">
                  <c:v>91.293730213473467</c:v>
                </c:pt>
                <c:pt idx="12">
                  <c:v>95.786341846958877</c:v>
                </c:pt>
                <c:pt idx="13">
                  <c:v>100.12360315783805</c:v>
                </c:pt>
                <c:pt idx="14">
                  <c:v>104.41766019484243</c:v>
                </c:pt>
                <c:pt idx="15">
                  <c:v>108.61961388335715</c:v>
                </c:pt>
                <c:pt idx="16">
                  <c:v>112.9015992397344</c:v>
                </c:pt>
                <c:pt idx="17">
                  <c:v>117.0405507145194</c:v>
                </c:pt>
                <c:pt idx="18">
                  <c:v>121.81493000978287</c:v>
                </c:pt>
                <c:pt idx="19">
                  <c:v>126.81635550170097</c:v>
                </c:pt>
                <c:pt idx="20">
                  <c:v>131.078741657607</c:v>
                </c:pt>
                <c:pt idx="21">
                  <c:v>136.54300995043792</c:v>
                </c:pt>
                <c:pt idx="22">
                  <c:v>142.51937814516282</c:v>
                </c:pt>
                <c:pt idx="23">
                  <c:v>148.65021136578559</c:v>
                </c:pt>
                <c:pt idx="24">
                  <c:v>155.96160856290226</c:v>
                </c:pt>
                <c:pt idx="25">
                  <c:v>163.98281206510441</c:v>
                </c:pt>
                <c:pt idx="26">
                  <c:v>172.52218312377755</c:v>
                </c:pt>
                <c:pt idx="27">
                  <c:v>181.92749510984655</c:v>
                </c:pt>
                <c:pt idx="28">
                  <c:v>192.31597887182778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74-4700-AFC6-CB9C707E4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7631344"/>
        <c:axId val="91893424"/>
      </c:scatterChart>
      <c:valAx>
        <c:axId val="1267631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893424"/>
        <c:crosses val="autoZero"/>
        <c:crossBetween val="midCat"/>
      </c:valAx>
      <c:valAx>
        <c:axId val="91893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67631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lin.Reg - T_NTC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NTC!$B$10:$B$38</c:f>
              <c:numCache>
                <c:formatCode>0.00</c:formatCode>
                <c:ptCount val="29"/>
                <c:pt idx="0">
                  <c:v>92</c:v>
                </c:pt>
                <c:pt idx="1">
                  <c:v>88.85</c:v>
                </c:pt>
                <c:pt idx="2">
                  <c:v>85.75</c:v>
                </c:pt>
                <c:pt idx="3">
                  <c:v>82.65</c:v>
                </c:pt>
                <c:pt idx="4">
                  <c:v>79.489999999999995</c:v>
                </c:pt>
                <c:pt idx="5">
                  <c:v>76.37</c:v>
                </c:pt>
                <c:pt idx="6">
                  <c:v>73.349999999999994</c:v>
                </c:pt>
                <c:pt idx="7">
                  <c:v>70.239999999999995</c:v>
                </c:pt>
                <c:pt idx="8">
                  <c:v>67.650000000000006</c:v>
                </c:pt>
                <c:pt idx="9">
                  <c:v>64.47</c:v>
                </c:pt>
                <c:pt idx="10">
                  <c:v>61.3</c:v>
                </c:pt>
                <c:pt idx="11">
                  <c:v>58.18</c:v>
                </c:pt>
                <c:pt idx="12">
                  <c:v>55.13</c:v>
                </c:pt>
                <c:pt idx="13">
                  <c:v>52.06</c:v>
                </c:pt>
                <c:pt idx="14">
                  <c:v>48.94</c:v>
                </c:pt>
                <c:pt idx="15">
                  <c:v>45.86</c:v>
                </c:pt>
                <c:pt idx="16">
                  <c:v>42.75</c:v>
                </c:pt>
                <c:pt idx="17">
                  <c:v>39.82</c:v>
                </c:pt>
                <c:pt idx="18">
                  <c:v>36.58</c:v>
                </c:pt>
                <c:pt idx="19">
                  <c:v>33.380000000000003</c:v>
                </c:pt>
                <c:pt idx="20">
                  <c:v>30.82</c:v>
                </c:pt>
                <c:pt idx="21">
                  <c:v>27.76</c:v>
                </c:pt>
                <c:pt idx="22">
                  <c:v>24.68</c:v>
                </c:pt>
                <c:pt idx="23">
                  <c:v>21.78</c:v>
                </c:pt>
                <c:pt idx="24">
                  <c:v>18.62</c:v>
                </c:pt>
                <c:pt idx="25">
                  <c:v>15.47</c:v>
                </c:pt>
                <c:pt idx="26">
                  <c:v>12.42</c:v>
                </c:pt>
                <c:pt idx="27">
                  <c:v>9.36</c:v>
                </c:pt>
                <c:pt idx="28">
                  <c:v>6.28</c:v>
                </c:pt>
              </c:numCache>
            </c:numRef>
          </c:xVal>
          <c:yVal>
            <c:numRef>
              <c:f>NTC!$F$10:$F$38</c:f>
              <c:numCache>
                <c:formatCode>0.00</c:formatCode>
                <c:ptCount val="29"/>
                <c:pt idx="0">
                  <c:v>14.686606655999981</c:v>
                </c:pt>
                <c:pt idx="1">
                  <c:v>8.8233569257712929</c:v>
                </c:pt>
                <c:pt idx="2">
                  <c:v>4.0804331642029865</c:v>
                </c:pt>
                <c:pt idx="3">
                  <c:v>0.27988917714989725</c:v>
                </c:pt>
                <c:pt idx="4">
                  <c:v>-2.7032830731341733</c:v>
                </c:pt>
                <c:pt idx="5">
                  <c:v>-4.8446317646902912</c:v>
                </c:pt>
                <c:pt idx="6">
                  <c:v>-6.229971335939922</c:v>
                </c:pt>
                <c:pt idx="7">
                  <c:v>-7.0251142485893752</c:v>
                </c:pt>
                <c:pt idx="8">
                  <c:v>-7.2532168859376895</c:v>
                </c:pt>
                <c:pt idx="9">
                  <c:v>-7.0632662284943422</c:v>
                </c:pt>
                <c:pt idx="10">
                  <c:v>-6.4350463699610145</c:v>
                </c:pt>
                <c:pt idx="11">
                  <c:v>-5.4681522134734593</c:v>
                </c:pt>
                <c:pt idx="12">
                  <c:v>-4.263668846958879</c:v>
                </c:pt>
                <c:pt idx="13">
                  <c:v>-2.8664771578380481</c:v>
                </c:pt>
                <c:pt idx="14">
                  <c:v>-1.3326861948424238</c:v>
                </c:pt>
                <c:pt idx="15">
                  <c:v>0.21849211664286372</c:v>
                </c:pt>
                <c:pt idx="16">
                  <c:v>1.7456757602656126</c:v>
                </c:pt>
                <c:pt idx="17">
                  <c:v>3.0796712854806003</c:v>
                </c:pt>
                <c:pt idx="18">
                  <c:v>4.3572879902171309</c:v>
                </c:pt>
                <c:pt idx="19">
                  <c:v>5.3331424982990256</c:v>
                </c:pt>
                <c:pt idx="20">
                  <c:v>5.8525803423929972</c:v>
                </c:pt>
                <c:pt idx="21">
                  <c:v>6.1040860495620848</c:v>
                </c:pt>
                <c:pt idx="22">
                  <c:v>5.8808498548371801</c:v>
                </c:pt>
                <c:pt idx="23">
                  <c:v>5.1669266342144056</c:v>
                </c:pt>
                <c:pt idx="24">
                  <c:v>3.7580934370977275</c:v>
                </c:pt>
                <c:pt idx="25">
                  <c:v>1.6207749348955929</c:v>
                </c:pt>
                <c:pt idx="26">
                  <c:v>-1.221501123777557</c:v>
                </c:pt>
                <c:pt idx="27">
                  <c:v>-4.9110391098465414</c:v>
                </c:pt>
                <c:pt idx="28">
                  <c:v>-9.5463908718277821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2A-4291-9B5F-64212B8D2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3235552"/>
        <c:axId val="91984624"/>
      </c:scatterChart>
      <c:valAx>
        <c:axId val="10632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91984624"/>
        <c:crosses val="autoZero"/>
        <c:crossBetween val="midCat"/>
      </c:valAx>
      <c:valAx>
        <c:axId val="9198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63235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3</xdr:row>
      <xdr:rowOff>93662</xdr:rowOff>
    </xdr:from>
    <xdr:to>
      <xdr:col>12</xdr:col>
      <xdr:colOff>342900</xdr:colOff>
      <xdr:row>18</xdr:row>
      <xdr:rowOff>131762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94A253D-3B3B-EDE3-7091-BBDCE59D16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336549</xdr:colOff>
      <xdr:row>20</xdr:row>
      <xdr:rowOff>87311</xdr:rowOff>
    </xdr:from>
    <xdr:to>
      <xdr:col>12</xdr:col>
      <xdr:colOff>365124</xdr:colOff>
      <xdr:row>38</xdr:row>
      <xdr:rowOff>60324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2516E6EB-8033-E77B-42B5-787B099336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</xdr:col>
      <xdr:colOff>66675</xdr:colOff>
      <xdr:row>46</xdr:row>
      <xdr:rowOff>76200</xdr:rowOff>
    </xdr:from>
    <xdr:to>
      <xdr:col>9</xdr:col>
      <xdr:colOff>447969</xdr:colOff>
      <xdr:row>48</xdr:row>
      <xdr:rowOff>123846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7214EAD-C754-AEF9-2E1F-38F2CB4A3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95625" y="8401050"/>
          <a:ext cx="5715294" cy="409596"/>
        </a:xfrm>
        <a:prstGeom prst="rect">
          <a:avLst/>
        </a:prstGeom>
      </xdr:spPr>
    </xdr:pic>
    <xdr:clientData/>
  </xdr:twoCellAnchor>
  <xdr:twoCellAnchor>
    <xdr:from>
      <xdr:col>12</xdr:col>
      <xdr:colOff>531812</xdr:colOff>
      <xdr:row>21</xdr:row>
      <xdr:rowOff>74612</xdr:rowOff>
    </xdr:from>
    <xdr:to>
      <xdr:col>18</xdr:col>
      <xdr:colOff>531812</xdr:colOff>
      <xdr:row>36</xdr:row>
      <xdr:rowOff>115887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1F70627-4ACD-E163-2D9D-DBDE454354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DDB0-3D58-44FF-B0C8-074546E3480D}">
  <dimension ref="A1:I27"/>
  <sheetViews>
    <sheetView tabSelected="1" workbookViewId="0">
      <selection activeCell="C27" sqref="C27"/>
    </sheetView>
  </sheetViews>
  <sheetFormatPr baseColWidth="10" defaultRowHeight="14.5" x14ac:dyDescent="0.35"/>
  <cols>
    <col min="3" max="3" width="12.36328125" bestFit="1" customWidth="1"/>
    <col min="7" max="7" width="11.81640625" bestFit="1" customWidth="1"/>
  </cols>
  <sheetData>
    <row r="1" spans="1:9" x14ac:dyDescent="0.35">
      <c r="A1" s="5" t="s">
        <v>0</v>
      </c>
      <c r="E1" s="10" t="s">
        <v>46</v>
      </c>
      <c r="F1" s="10"/>
      <c r="G1" s="10"/>
      <c r="H1" s="10"/>
      <c r="I1" s="10"/>
    </row>
    <row r="2" spans="1:9" x14ac:dyDescent="0.35"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</row>
    <row r="3" spans="1:9" x14ac:dyDescent="0.35">
      <c r="A3" s="5" t="s">
        <v>1</v>
      </c>
      <c r="B3" s="5" t="s">
        <v>2</v>
      </c>
      <c r="C3" s="5" t="s">
        <v>6</v>
      </c>
      <c r="D3" s="5" t="s">
        <v>16</v>
      </c>
      <c r="E3" s="5" t="s">
        <v>30</v>
      </c>
    </row>
    <row r="4" spans="1:9" x14ac:dyDescent="0.35">
      <c r="A4">
        <v>27</v>
      </c>
      <c r="B4" t="s">
        <v>13</v>
      </c>
      <c r="C4" t="s">
        <v>14</v>
      </c>
      <c r="D4" t="s">
        <v>17</v>
      </c>
      <c r="E4" s="6" t="s">
        <v>31</v>
      </c>
      <c r="F4" s="6" t="s">
        <v>31</v>
      </c>
      <c r="G4" s="6" t="s">
        <v>31</v>
      </c>
      <c r="H4" s="6" t="s">
        <v>31</v>
      </c>
      <c r="I4" s="6" t="s">
        <v>31</v>
      </c>
    </row>
    <row r="5" spans="1:9" x14ac:dyDescent="0.35">
      <c r="A5">
        <v>33</v>
      </c>
      <c r="B5" t="s">
        <v>3</v>
      </c>
      <c r="C5" s="1" t="s">
        <v>12</v>
      </c>
      <c r="D5" t="s">
        <v>17</v>
      </c>
      <c r="E5" s="6" t="s">
        <v>31</v>
      </c>
      <c r="F5" s="6" t="s">
        <v>31</v>
      </c>
      <c r="G5" s="6" t="s">
        <v>31</v>
      </c>
      <c r="H5" s="6" t="s">
        <v>31</v>
      </c>
      <c r="I5" s="6" t="s">
        <v>31</v>
      </c>
    </row>
    <row r="6" spans="1:9" x14ac:dyDescent="0.35">
      <c r="A6">
        <v>36</v>
      </c>
      <c r="B6" t="s">
        <v>9</v>
      </c>
      <c r="C6" s="1" t="s">
        <v>15</v>
      </c>
      <c r="D6" t="s">
        <v>17</v>
      </c>
      <c r="E6" s="6" t="s">
        <v>31</v>
      </c>
      <c r="F6" s="6" t="s">
        <v>31</v>
      </c>
      <c r="G6" s="6" t="s">
        <v>31</v>
      </c>
      <c r="H6" s="6" t="s">
        <v>31</v>
      </c>
      <c r="I6" s="6" t="s">
        <v>31</v>
      </c>
    </row>
    <row r="7" spans="1:9" x14ac:dyDescent="0.35">
      <c r="A7">
        <v>37</v>
      </c>
      <c r="B7" t="s">
        <v>4</v>
      </c>
      <c r="C7" s="1" t="s">
        <v>12</v>
      </c>
      <c r="D7" t="s">
        <v>17</v>
      </c>
      <c r="E7" s="6" t="s">
        <v>31</v>
      </c>
      <c r="F7" s="6" t="s">
        <v>31</v>
      </c>
      <c r="G7" s="6" t="s">
        <v>31</v>
      </c>
      <c r="H7" s="6" t="s">
        <v>31</v>
      </c>
      <c r="I7" s="6" t="s">
        <v>31</v>
      </c>
    </row>
    <row r="8" spans="1:9" x14ac:dyDescent="0.35">
      <c r="A8">
        <v>39</v>
      </c>
      <c r="B8" t="s">
        <v>5</v>
      </c>
      <c r="C8" s="1" t="s">
        <v>12</v>
      </c>
      <c r="D8" t="s">
        <v>17</v>
      </c>
      <c r="E8" s="6" t="s">
        <v>31</v>
      </c>
      <c r="F8" s="6" t="s">
        <v>31</v>
      </c>
      <c r="G8" s="6" t="s">
        <v>31</v>
      </c>
      <c r="H8" s="6" t="s">
        <v>31</v>
      </c>
      <c r="I8" s="6" t="s">
        <v>31</v>
      </c>
    </row>
    <row r="9" spans="1:9" x14ac:dyDescent="0.35">
      <c r="A9">
        <v>49</v>
      </c>
      <c r="B9" t="s">
        <v>21</v>
      </c>
      <c r="C9" t="s">
        <v>8</v>
      </c>
      <c r="D9" t="s">
        <v>18</v>
      </c>
      <c r="E9" s="6" t="s">
        <v>31</v>
      </c>
      <c r="F9" s="6" t="s">
        <v>31</v>
      </c>
      <c r="G9" s="6" t="s">
        <v>31</v>
      </c>
      <c r="H9" s="6" t="s">
        <v>31</v>
      </c>
      <c r="I9" s="6" t="s">
        <v>31</v>
      </c>
    </row>
    <row r="10" spans="1:9" x14ac:dyDescent="0.35">
      <c r="A10">
        <v>50</v>
      </c>
      <c r="B10" t="s">
        <v>22</v>
      </c>
      <c r="C10" t="s">
        <v>8</v>
      </c>
      <c r="D10" t="s">
        <v>18</v>
      </c>
      <c r="E10" s="6" t="s">
        <v>31</v>
      </c>
      <c r="F10" s="6" t="s">
        <v>31</v>
      </c>
      <c r="G10" s="6" t="s">
        <v>31</v>
      </c>
      <c r="H10" s="6" t="s">
        <v>31</v>
      </c>
      <c r="I10" s="6" t="s">
        <v>31</v>
      </c>
    </row>
    <row r="11" spans="1:9" x14ac:dyDescent="0.35">
      <c r="A11">
        <v>51</v>
      </c>
      <c r="B11" t="s">
        <v>23</v>
      </c>
      <c r="C11" t="s">
        <v>8</v>
      </c>
      <c r="D11" t="s">
        <v>18</v>
      </c>
      <c r="E11" s="6" t="s">
        <v>31</v>
      </c>
      <c r="F11" s="6" t="s">
        <v>31</v>
      </c>
      <c r="G11" s="6" t="s">
        <v>31</v>
      </c>
      <c r="H11" s="6" t="s">
        <v>31</v>
      </c>
      <c r="I11" s="6" t="s">
        <v>31</v>
      </c>
    </row>
    <row r="12" spans="1:9" x14ac:dyDescent="0.35">
      <c r="A12">
        <v>52</v>
      </c>
      <c r="B12" t="s">
        <v>24</v>
      </c>
      <c r="C12" t="s">
        <v>8</v>
      </c>
      <c r="D12" t="s">
        <v>18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</row>
    <row r="13" spans="1:9" x14ac:dyDescent="0.35">
      <c r="A13">
        <v>53</v>
      </c>
      <c r="B13" t="s">
        <v>25</v>
      </c>
      <c r="C13" t="s">
        <v>8</v>
      </c>
      <c r="D13" t="s">
        <v>18</v>
      </c>
      <c r="E13" s="6" t="s">
        <v>31</v>
      </c>
      <c r="F13" s="6" t="s">
        <v>31</v>
      </c>
      <c r="G13" s="6" t="s">
        <v>31</v>
      </c>
      <c r="H13" s="6" t="s">
        <v>31</v>
      </c>
      <c r="I13" s="6" t="s">
        <v>31</v>
      </c>
    </row>
    <row r="14" spans="1:9" x14ac:dyDescent="0.35">
      <c r="A14">
        <v>55</v>
      </c>
      <c r="B14" t="s">
        <v>26</v>
      </c>
      <c r="C14" t="s">
        <v>8</v>
      </c>
      <c r="D14" t="s">
        <v>18</v>
      </c>
      <c r="E14" s="6" t="s">
        <v>31</v>
      </c>
      <c r="F14" s="6" t="s">
        <v>31</v>
      </c>
      <c r="G14" s="6" t="s">
        <v>31</v>
      </c>
      <c r="H14" s="6" t="s">
        <v>31</v>
      </c>
      <c r="I14" s="6" t="s">
        <v>31</v>
      </c>
    </row>
    <row r="15" spans="1:9" x14ac:dyDescent="0.35">
      <c r="A15">
        <v>74</v>
      </c>
      <c r="B15" t="s">
        <v>7</v>
      </c>
      <c r="C15" t="s">
        <v>8</v>
      </c>
      <c r="D15" t="s">
        <v>18</v>
      </c>
      <c r="E15" s="6" t="s">
        <v>31</v>
      </c>
      <c r="F15" s="6" t="s">
        <v>31</v>
      </c>
      <c r="G15" s="6" t="s">
        <v>31</v>
      </c>
      <c r="H15" s="6" t="s">
        <v>31</v>
      </c>
      <c r="I15" s="6" t="s">
        <v>31</v>
      </c>
    </row>
    <row r="16" spans="1:9" x14ac:dyDescent="0.35">
      <c r="A16">
        <v>105</v>
      </c>
      <c r="B16" t="s">
        <v>19</v>
      </c>
      <c r="C16" t="s">
        <v>8</v>
      </c>
      <c r="D16" t="s">
        <v>18</v>
      </c>
      <c r="E16" s="6" t="s">
        <v>31</v>
      </c>
      <c r="F16" s="6" t="s">
        <v>31</v>
      </c>
      <c r="G16" s="6" t="s">
        <v>31</v>
      </c>
      <c r="H16" s="6" t="s">
        <v>31</v>
      </c>
      <c r="I16" s="6" t="s">
        <v>31</v>
      </c>
    </row>
    <row r="17" spans="1:9" x14ac:dyDescent="0.35">
      <c r="A17">
        <v>107</v>
      </c>
      <c r="B17" t="s">
        <v>20</v>
      </c>
      <c r="C17" t="s">
        <v>8</v>
      </c>
      <c r="D17" t="s">
        <v>18</v>
      </c>
      <c r="E17" s="6" t="s">
        <v>31</v>
      </c>
      <c r="F17" s="6" t="s">
        <v>31</v>
      </c>
      <c r="G17" s="6" t="s">
        <v>31</v>
      </c>
      <c r="H17" s="6" t="s">
        <v>31</v>
      </c>
      <c r="I17" s="6" t="s">
        <v>31</v>
      </c>
    </row>
    <row r="18" spans="1:9" x14ac:dyDescent="0.35">
      <c r="B18" t="s">
        <v>47</v>
      </c>
      <c r="D18" t="s">
        <v>18</v>
      </c>
      <c r="E18" s="6" t="s">
        <v>31</v>
      </c>
      <c r="F18" s="6" t="s">
        <v>31</v>
      </c>
      <c r="G18" s="6" t="s">
        <v>31</v>
      </c>
      <c r="H18" s="6" t="s">
        <v>31</v>
      </c>
      <c r="I18" s="6" t="s">
        <v>31</v>
      </c>
    </row>
    <row r="19" spans="1:9" x14ac:dyDescent="0.35">
      <c r="A19" t="s">
        <v>38</v>
      </c>
    </row>
    <row r="21" spans="1:9" x14ac:dyDescent="0.35">
      <c r="A21" s="11" t="s">
        <v>48</v>
      </c>
      <c r="B21" s="11"/>
    </row>
    <row r="22" spans="1:9" ht="14.5" customHeight="1" x14ac:dyDescent="0.35">
      <c r="A22" s="7" t="s">
        <v>32</v>
      </c>
      <c r="B22" s="7">
        <v>0.32700000000000001</v>
      </c>
      <c r="C22" s="7" t="s">
        <v>33</v>
      </c>
      <c r="D22" s="7"/>
      <c r="E22" s="7"/>
      <c r="F22" s="7" t="s">
        <v>37</v>
      </c>
      <c r="G22" s="7"/>
      <c r="H22" s="9" t="s">
        <v>50</v>
      </c>
      <c r="I22" s="9"/>
    </row>
    <row r="23" spans="1:9" x14ac:dyDescent="0.35">
      <c r="A23" s="7" t="s">
        <v>34</v>
      </c>
      <c r="B23" s="7">
        <v>2.9620000000000002</v>
      </c>
      <c r="C23" s="7" t="s">
        <v>33</v>
      </c>
      <c r="D23" s="7">
        <f>3.3-B23</f>
        <v>0.33799999999999963</v>
      </c>
      <c r="E23" s="7" t="s">
        <v>35</v>
      </c>
      <c r="F23" s="7" t="s">
        <v>36</v>
      </c>
      <c r="G23" s="7"/>
      <c r="H23" s="9"/>
      <c r="I23" s="9"/>
    </row>
    <row r="25" spans="1:9" x14ac:dyDescent="0.35">
      <c r="A25" s="5" t="s">
        <v>51</v>
      </c>
      <c r="C25" t="s">
        <v>54</v>
      </c>
      <c r="D25">
        <v>2.6700000000000002E-2</v>
      </c>
      <c r="F25" t="s">
        <v>55</v>
      </c>
      <c r="G25">
        <f>1/D25</f>
        <v>37.453183520599246</v>
      </c>
    </row>
    <row r="26" spans="1:9" x14ac:dyDescent="0.35">
      <c r="A26" t="s">
        <v>52</v>
      </c>
      <c r="B26">
        <f>$G$25*(B23-1.65)</f>
        <v>49.138576779026224</v>
      </c>
    </row>
    <row r="27" spans="1:9" x14ac:dyDescent="0.35">
      <c r="A27" t="s">
        <v>53</v>
      </c>
      <c r="B27">
        <f>$G$25*(B22-1.65)</f>
        <v>-49.550561797752799</v>
      </c>
    </row>
  </sheetData>
  <mergeCells count="3">
    <mergeCell ref="H22:I23"/>
    <mergeCell ref="E1:I1"/>
    <mergeCell ref="A21:B21"/>
  </mergeCells>
  <phoneticPr fontId="3" type="noConversion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CD7F7-6135-40E0-9432-DBBFCC09CE99}">
  <dimension ref="A1:F46"/>
  <sheetViews>
    <sheetView workbookViewId="0"/>
  </sheetViews>
  <sheetFormatPr baseColWidth="10" defaultRowHeight="14.5" x14ac:dyDescent="0.35"/>
  <cols>
    <col min="1" max="1" width="32.453125" bestFit="1" customWidth="1"/>
  </cols>
  <sheetData>
    <row r="1" spans="1:6" x14ac:dyDescent="0.35">
      <c r="A1" s="5" t="s">
        <v>49</v>
      </c>
    </row>
    <row r="3" spans="1:6" x14ac:dyDescent="0.35">
      <c r="A3" t="s">
        <v>10</v>
      </c>
      <c r="B3" t="s">
        <v>11</v>
      </c>
      <c r="C3" t="s">
        <v>27</v>
      </c>
      <c r="E3" t="s">
        <v>39</v>
      </c>
      <c r="F3" t="s">
        <v>40</v>
      </c>
    </row>
    <row r="4" spans="1:6" x14ac:dyDescent="0.35">
      <c r="A4" s="4">
        <v>0</v>
      </c>
      <c r="B4" s="4">
        <v>93.05</v>
      </c>
      <c r="C4" s="4">
        <f>-(4.26587*10^(-4))*B4*B4*B4+0.0607083*B4*B4-4.24309*B4+216.674</f>
        <v>3.8033313595441598</v>
      </c>
    </row>
    <row r="5" spans="1:6" x14ac:dyDescent="0.35">
      <c r="A5" s="4">
        <f>A4+0.05</f>
        <v>0.05</v>
      </c>
      <c r="B5" s="4">
        <v>93.05</v>
      </c>
      <c r="C5" s="4">
        <f t="shared" ref="C5:C44" si="0">-(4.26587*10^(-4))*B5*B5*B5+0.0607083*B5*B5-4.24309*B5+216.674</f>
        <v>3.8033313595441598</v>
      </c>
    </row>
    <row r="6" spans="1:6" x14ac:dyDescent="0.35">
      <c r="A6" s="4">
        <f t="shared" ref="A6:A44" si="1">A5+0.05</f>
        <v>0.1</v>
      </c>
      <c r="B6" s="4">
        <v>93.02</v>
      </c>
      <c r="C6" s="4">
        <f t="shared" si="0"/>
        <v>3.9240538320181884</v>
      </c>
    </row>
    <row r="7" spans="1:6" x14ac:dyDescent="0.35">
      <c r="A7" s="4">
        <f t="shared" si="1"/>
        <v>0.15000000000000002</v>
      </c>
      <c r="B7" s="4">
        <v>92.99</v>
      </c>
      <c r="C7" s="4">
        <f t="shared" si="0"/>
        <v>4.0446713013693341</v>
      </c>
    </row>
    <row r="8" spans="1:6" x14ac:dyDescent="0.35">
      <c r="A8" s="4">
        <f t="shared" si="1"/>
        <v>0.2</v>
      </c>
      <c r="B8" s="4">
        <v>92.95</v>
      </c>
      <c r="C8" s="4">
        <f t="shared" si="0"/>
        <v>4.2053313750909354</v>
      </c>
    </row>
    <row r="9" spans="1:6" x14ac:dyDescent="0.35">
      <c r="A9" s="4">
        <f t="shared" si="1"/>
        <v>0.25</v>
      </c>
      <c r="B9" s="4">
        <v>92.89</v>
      </c>
      <c r="C9" s="4">
        <f t="shared" si="0"/>
        <v>4.4459720639540308</v>
      </c>
    </row>
    <row r="10" spans="1:6" x14ac:dyDescent="0.35">
      <c r="A10" s="3">
        <f t="shared" si="1"/>
        <v>0.3</v>
      </c>
      <c r="B10" s="3">
        <v>92</v>
      </c>
      <c r="C10" s="3">
        <f t="shared" si="0"/>
        <v>7.9665933440000174</v>
      </c>
      <c r="D10" s="8" t="s">
        <v>28</v>
      </c>
      <c r="E10">
        <f t="shared" ref="E10:E38" si="2">-1.8679*B10+194.5</f>
        <v>22.653199999999998</v>
      </c>
      <c r="F10" s="2">
        <f>E10-C10</f>
        <v>14.686606655999981</v>
      </c>
    </row>
    <row r="11" spans="1:6" x14ac:dyDescent="0.35">
      <c r="A11" s="3">
        <f t="shared" si="1"/>
        <v>0.35</v>
      </c>
      <c r="B11" s="3">
        <v>88.85</v>
      </c>
      <c r="C11" s="3">
        <f t="shared" si="0"/>
        <v>19.713728074228726</v>
      </c>
      <c r="D11" s="8"/>
      <c r="E11">
        <f t="shared" si="2"/>
        <v>28.537085000000019</v>
      </c>
      <c r="F11" s="2">
        <f t="shared" ref="F11:F38" si="3">E11-C11</f>
        <v>8.8233569257712929</v>
      </c>
    </row>
    <row r="12" spans="1:6" x14ac:dyDescent="0.35">
      <c r="A12" s="3">
        <f t="shared" si="1"/>
        <v>0.39999999999999997</v>
      </c>
      <c r="B12" s="3">
        <v>85.75</v>
      </c>
      <c r="C12" s="3">
        <f t="shared" si="0"/>
        <v>30.247141835797009</v>
      </c>
      <c r="D12" s="8"/>
      <c r="E12">
        <f t="shared" si="2"/>
        <v>34.327574999999996</v>
      </c>
      <c r="F12" s="2">
        <f t="shared" si="3"/>
        <v>4.0804331642029865</v>
      </c>
    </row>
    <row r="13" spans="1:6" x14ac:dyDescent="0.35">
      <c r="A13" s="3">
        <f t="shared" si="1"/>
        <v>0.44999999999999996</v>
      </c>
      <c r="B13" s="3">
        <v>82.65</v>
      </c>
      <c r="C13" s="3">
        <f t="shared" si="0"/>
        <v>39.838175822850104</v>
      </c>
      <c r="D13" s="8"/>
      <c r="E13">
        <f t="shared" si="2"/>
        <v>40.118065000000001</v>
      </c>
      <c r="F13" s="2">
        <f t="shared" si="3"/>
        <v>0.27988917714989725</v>
      </c>
    </row>
    <row r="14" spans="1:6" x14ac:dyDescent="0.35">
      <c r="A14" s="3">
        <f t="shared" si="1"/>
        <v>0.49999999999999994</v>
      </c>
      <c r="B14" s="3">
        <v>79.489999999999995</v>
      </c>
      <c r="C14" s="3">
        <f t="shared" si="0"/>
        <v>48.723912073134187</v>
      </c>
      <c r="D14" s="8"/>
      <c r="E14">
        <f t="shared" si="2"/>
        <v>46.020629000000014</v>
      </c>
      <c r="F14" s="2">
        <f t="shared" si="3"/>
        <v>-2.7032830731341733</v>
      </c>
    </row>
    <row r="15" spans="1:6" x14ac:dyDescent="0.35">
      <c r="A15" s="3">
        <f t="shared" si="1"/>
        <v>0.54999999999999993</v>
      </c>
      <c r="B15" s="3">
        <v>76.37</v>
      </c>
      <c r="C15" s="3">
        <f t="shared" si="0"/>
        <v>56.693108764690294</v>
      </c>
      <c r="D15" s="8"/>
      <c r="E15">
        <f t="shared" si="2"/>
        <v>51.848477000000003</v>
      </c>
      <c r="F15" s="2">
        <f t="shared" si="3"/>
        <v>-4.8446317646902912</v>
      </c>
    </row>
    <row r="16" spans="1:6" x14ac:dyDescent="0.35">
      <c r="A16" s="3">
        <f t="shared" si="1"/>
        <v>0.6</v>
      </c>
      <c r="B16" s="3">
        <v>73.349999999999994</v>
      </c>
      <c r="C16" s="3">
        <f t="shared" si="0"/>
        <v>63.71950633593994</v>
      </c>
      <c r="D16" s="8"/>
      <c r="E16">
        <f t="shared" si="2"/>
        <v>57.489535000000018</v>
      </c>
      <c r="F16" s="2">
        <f t="shared" si="3"/>
        <v>-6.229971335939922</v>
      </c>
    </row>
    <row r="17" spans="1:6" x14ac:dyDescent="0.35">
      <c r="A17" s="3">
        <f t="shared" si="1"/>
        <v>0.65</v>
      </c>
      <c r="B17" s="3">
        <v>70.239999999999995</v>
      </c>
      <c r="C17" s="3">
        <f t="shared" si="0"/>
        <v>70.32381824858939</v>
      </c>
      <c r="D17" s="8"/>
      <c r="E17">
        <f t="shared" si="2"/>
        <v>63.298704000000015</v>
      </c>
      <c r="F17" s="2">
        <f t="shared" si="3"/>
        <v>-7.0251142485893752</v>
      </c>
    </row>
    <row r="18" spans="1:6" x14ac:dyDescent="0.35">
      <c r="A18" s="3">
        <f t="shared" si="1"/>
        <v>0.70000000000000007</v>
      </c>
      <c r="B18" s="3">
        <v>67.650000000000006</v>
      </c>
      <c r="C18" s="3">
        <f t="shared" si="0"/>
        <v>75.38978188593768</v>
      </c>
      <c r="D18" s="8"/>
      <c r="E18">
        <f t="shared" si="2"/>
        <v>68.13656499999999</v>
      </c>
      <c r="F18" s="2">
        <f t="shared" si="3"/>
        <v>-7.2532168859376895</v>
      </c>
    </row>
    <row r="19" spans="1:6" x14ac:dyDescent="0.35">
      <c r="A19" s="3">
        <f t="shared" si="1"/>
        <v>0.75000000000000011</v>
      </c>
      <c r="B19" s="3">
        <v>64.47</v>
      </c>
      <c r="C19" s="3">
        <f t="shared" si="0"/>
        <v>81.139753228494357</v>
      </c>
      <c r="D19" s="8"/>
      <c r="E19">
        <f t="shared" si="2"/>
        <v>74.076487000000014</v>
      </c>
      <c r="F19" s="2">
        <f t="shared" si="3"/>
        <v>-7.0632662284943422</v>
      </c>
    </row>
    <row r="20" spans="1:6" x14ac:dyDescent="0.35">
      <c r="A20" s="3">
        <f t="shared" si="1"/>
        <v>0.80000000000000016</v>
      </c>
      <c r="B20" s="3">
        <v>61.3</v>
      </c>
      <c r="C20" s="3">
        <f t="shared" si="0"/>
        <v>86.432776369961033</v>
      </c>
      <c r="D20" s="8"/>
      <c r="E20">
        <f t="shared" si="2"/>
        <v>79.997730000000018</v>
      </c>
      <c r="F20" s="2">
        <f t="shared" si="3"/>
        <v>-6.4350463699610145</v>
      </c>
    </row>
    <row r="21" spans="1:6" x14ac:dyDescent="0.35">
      <c r="A21" s="3">
        <f t="shared" si="1"/>
        <v>0.8500000000000002</v>
      </c>
      <c r="B21" s="3">
        <v>58.18</v>
      </c>
      <c r="C21" s="3">
        <f t="shared" si="0"/>
        <v>91.293730213473467</v>
      </c>
      <c r="D21" s="8"/>
      <c r="E21">
        <f t="shared" si="2"/>
        <v>85.825578000000007</v>
      </c>
      <c r="F21" s="2">
        <f t="shared" si="3"/>
        <v>-5.4681522134734593</v>
      </c>
    </row>
    <row r="22" spans="1:6" x14ac:dyDescent="0.35">
      <c r="A22" s="3">
        <f t="shared" si="1"/>
        <v>0.90000000000000024</v>
      </c>
      <c r="B22" s="3">
        <v>55.13</v>
      </c>
      <c r="C22" s="3">
        <f t="shared" si="0"/>
        <v>95.786341846958877</v>
      </c>
      <c r="D22" s="8"/>
      <c r="E22">
        <f t="shared" si="2"/>
        <v>91.522672999999998</v>
      </c>
      <c r="F22" s="2">
        <f t="shared" si="3"/>
        <v>-4.263668846958879</v>
      </c>
    </row>
    <row r="23" spans="1:6" x14ac:dyDescent="0.35">
      <c r="A23" s="3">
        <f t="shared" si="1"/>
        <v>0.95000000000000029</v>
      </c>
      <c r="B23" s="3">
        <v>52.06</v>
      </c>
      <c r="C23" s="3">
        <f t="shared" si="0"/>
        <v>100.12360315783805</v>
      </c>
      <c r="D23" s="8"/>
      <c r="E23">
        <f t="shared" si="2"/>
        <v>97.257126</v>
      </c>
      <c r="F23" s="2">
        <f t="shared" si="3"/>
        <v>-2.8664771578380481</v>
      </c>
    </row>
    <row r="24" spans="1:6" x14ac:dyDescent="0.35">
      <c r="A24" s="3">
        <f t="shared" si="1"/>
        <v>1.0000000000000002</v>
      </c>
      <c r="B24" s="3">
        <v>48.94</v>
      </c>
      <c r="C24" s="3">
        <f t="shared" si="0"/>
        <v>104.41766019484243</v>
      </c>
      <c r="D24" s="8"/>
      <c r="E24">
        <f t="shared" si="2"/>
        <v>103.084974</v>
      </c>
      <c r="F24" s="2">
        <f t="shared" si="3"/>
        <v>-1.3326861948424238</v>
      </c>
    </row>
    <row r="25" spans="1:6" x14ac:dyDescent="0.35">
      <c r="A25" s="3">
        <f t="shared" si="1"/>
        <v>1.0500000000000003</v>
      </c>
      <c r="B25" s="3">
        <v>45.86</v>
      </c>
      <c r="C25" s="3">
        <f t="shared" si="0"/>
        <v>108.61961388335715</v>
      </c>
      <c r="D25" s="8"/>
      <c r="E25">
        <f t="shared" si="2"/>
        <v>108.83810600000001</v>
      </c>
      <c r="F25" s="2">
        <f t="shared" si="3"/>
        <v>0.21849211664286372</v>
      </c>
    </row>
    <row r="26" spans="1:6" x14ac:dyDescent="0.35">
      <c r="A26" s="3">
        <f t="shared" si="1"/>
        <v>1.1000000000000003</v>
      </c>
      <c r="B26" s="3">
        <v>42.75</v>
      </c>
      <c r="C26" s="3">
        <f t="shared" si="0"/>
        <v>112.9015992397344</v>
      </c>
      <c r="D26" s="8"/>
      <c r="E26">
        <f t="shared" si="2"/>
        <v>114.64727500000001</v>
      </c>
      <c r="F26" s="2">
        <f t="shared" si="3"/>
        <v>1.7456757602656126</v>
      </c>
    </row>
    <row r="27" spans="1:6" x14ac:dyDescent="0.35">
      <c r="A27" s="3">
        <f t="shared" si="1"/>
        <v>1.1500000000000004</v>
      </c>
      <c r="B27" s="3">
        <v>39.82</v>
      </c>
      <c r="C27" s="3">
        <f t="shared" si="0"/>
        <v>117.0405507145194</v>
      </c>
      <c r="D27" s="8"/>
      <c r="E27">
        <f t="shared" si="2"/>
        <v>120.120222</v>
      </c>
      <c r="F27" s="2">
        <f t="shared" si="3"/>
        <v>3.0796712854806003</v>
      </c>
    </row>
    <row r="28" spans="1:6" x14ac:dyDescent="0.35">
      <c r="A28" s="3">
        <f t="shared" si="1"/>
        <v>1.2000000000000004</v>
      </c>
      <c r="B28" s="3">
        <v>36.58</v>
      </c>
      <c r="C28" s="3">
        <f t="shared" si="0"/>
        <v>121.81493000978287</v>
      </c>
      <c r="D28" s="8"/>
      <c r="E28">
        <f t="shared" si="2"/>
        <v>126.172218</v>
      </c>
      <c r="F28" s="2">
        <f t="shared" si="3"/>
        <v>4.3572879902171309</v>
      </c>
    </row>
    <row r="29" spans="1:6" x14ac:dyDescent="0.35">
      <c r="A29" s="3">
        <f t="shared" si="1"/>
        <v>1.2500000000000004</v>
      </c>
      <c r="B29" s="3">
        <v>33.380000000000003</v>
      </c>
      <c r="C29" s="3">
        <f t="shared" si="0"/>
        <v>126.81635550170097</v>
      </c>
      <c r="D29" s="8"/>
      <c r="E29">
        <f t="shared" si="2"/>
        <v>132.14949799999999</v>
      </c>
      <c r="F29" s="2">
        <f t="shared" si="3"/>
        <v>5.3331424982990256</v>
      </c>
    </row>
    <row r="30" spans="1:6" x14ac:dyDescent="0.35">
      <c r="A30" s="3">
        <f t="shared" si="1"/>
        <v>1.3000000000000005</v>
      </c>
      <c r="B30" s="3">
        <v>30.82</v>
      </c>
      <c r="C30" s="3">
        <f t="shared" si="0"/>
        <v>131.078741657607</v>
      </c>
      <c r="D30" s="8"/>
      <c r="E30">
        <f t="shared" si="2"/>
        <v>136.93132199999999</v>
      </c>
      <c r="F30" s="2">
        <f t="shared" si="3"/>
        <v>5.8525803423929972</v>
      </c>
    </row>
    <row r="31" spans="1:6" x14ac:dyDescent="0.35">
      <c r="A31" s="3">
        <f t="shared" si="1"/>
        <v>1.3500000000000005</v>
      </c>
      <c r="B31" s="3">
        <v>27.76</v>
      </c>
      <c r="C31" s="3">
        <f t="shared" si="0"/>
        <v>136.54300995043792</v>
      </c>
      <c r="D31" s="8"/>
      <c r="E31">
        <f t="shared" si="2"/>
        <v>142.647096</v>
      </c>
      <c r="F31" s="2">
        <f t="shared" si="3"/>
        <v>6.1040860495620848</v>
      </c>
    </row>
    <row r="32" spans="1:6" x14ac:dyDescent="0.35">
      <c r="A32" s="3">
        <f t="shared" si="1"/>
        <v>1.4000000000000006</v>
      </c>
      <c r="B32" s="3">
        <v>24.68</v>
      </c>
      <c r="C32" s="3">
        <f t="shared" si="0"/>
        <v>142.51937814516282</v>
      </c>
      <c r="D32" s="8"/>
      <c r="E32">
        <f t="shared" si="2"/>
        <v>148.400228</v>
      </c>
      <c r="F32" s="2">
        <f t="shared" si="3"/>
        <v>5.8808498548371801</v>
      </c>
    </row>
    <row r="33" spans="1:6" x14ac:dyDescent="0.35">
      <c r="A33" s="3">
        <f t="shared" si="1"/>
        <v>1.4500000000000006</v>
      </c>
      <c r="B33" s="3">
        <v>21.78</v>
      </c>
      <c r="C33" s="3">
        <f t="shared" si="0"/>
        <v>148.65021136578559</v>
      </c>
      <c r="D33" s="8"/>
      <c r="E33">
        <f t="shared" si="2"/>
        <v>153.817138</v>
      </c>
      <c r="F33" s="2">
        <f t="shared" si="3"/>
        <v>5.1669266342144056</v>
      </c>
    </row>
    <row r="34" spans="1:6" x14ac:dyDescent="0.35">
      <c r="A34" s="3">
        <f t="shared" si="1"/>
        <v>1.5000000000000007</v>
      </c>
      <c r="B34" s="3">
        <v>18.62</v>
      </c>
      <c r="C34" s="3">
        <f t="shared" si="0"/>
        <v>155.96160856290226</v>
      </c>
      <c r="D34" s="8"/>
      <c r="E34">
        <f t="shared" si="2"/>
        <v>159.71970199999998</v>
      </c>
      <c r="F34" s="2">
        <f t="shared" si="3"/>
        <v>3.7580934370977275</v>
      </c>
    </row>
    <row r="35" spans="1:6" x14ac:dyDescent="0.35">
      <c r="A35" s="3">
        <f t="shared" si="1"/>
        <v>1.5500000000000007</v>
      </c>
      <c r="B35" s="3">
        <v>15.47</v>
      </c>
      <c r="C35" s="3">
        <f t="shared" si="0"/>
        <v>163.98281206510441</v>
      </c>
      <c r="D35" s="8"/>
      <c r="E35">
        <f t="shared" si="2"/>
        <v>165.603587</v>
      </c>
      <c r="F35" s="2">
        <f t="shared" si="3"/>
        <v>1.6207749348955929</v>
      </c>
    </row>
    <row r="36" spans="1:6" x14ac:dyDescent="0.35">
      <c r="A36" s="3">
        <f t="shared" si="1"/>
        <v>1.6000000000000008</v>
      </c>
      <c r="B36" s="3">
        <v>12.42</v>
      </c>
      <c r="C36" s="3">
        <f t="shared" si="0"/>
        <v>172.52218312377755</v>
      </c>
      <c r="D36" s="8"/>
      <c r="E36">
        <f t="shared" si="2"/>
        <v>171.30068199999999</v>
      </c>
      <c r="F36" s="2">
        <f t="shared" si="3"/>
        <v>-1.221501123777557</v>
      </c>
    </row>
    <row r="37" spans="1:6" x14ac:dyDescent="0.35">
      <c r="A37" s="3">
        <f t="shared" si="1"/>
        <v>1.6500000000000008</v>
      </c>
      <c r="B37" s="3">
        <v>9.36</v>
      </c>
      <c r="C37" s="3">
        <f t="shared" si="0"/>
        <v>181.92749510984655</v>
      </c>
      <c r="D37" s="8"/>
      <c r="E37">
        <f t="shared" si="2"/>
        <v>177.01645600000001</v>
      </c>
      <c r="F37" s="2">
        <f t="shared" si="3"/>
        <v>-4.9110391098465414</v>
      </c>
    </row>
    <row r="38" spans="1:6" x14ac:dyDescent="0.35">
      <c r="A38" s="3">
        <f t="shared" si="1"/>
        <v>1.7000000000000008</v>
      </c>
      <c r="B38" s="3">
        <v>6.28</v>
      </c>
      <c r="C38" s="3">
        <f t="shared" si="0"/>
        <v>192.31597887182778</v>
      </c>
      <c r="D38" s="8"/>
      <c r="E38">
        <f t="shared" si="2"/>
        <v>182.769588</v>
      </c>
      <c r="F38" s="2">
        <f t="shared" si="3"/>
        <v>-9.5463908718277821</v>
      </c>
    </row>
    <row r="39" spans="1:6" x14ac:dyDescent="0.35">
      <c r="A39" s="4">
        <f t="shared" si="1"/>
        <v>1.7500000000000009</v>
      </c>
      <c r="B39" s="4">
        <v>4.95</v>
      </c>
      <c r="C39" s="4">
        <f t="shared" si="0"/>
        <v>197.10647000331087</v>
      </c>
    </row>
    <row r="40" spans="1:6" x14ac:dyDescent="0.35">
      <c r="A40" s="4">
        <f t="shared" si="1"/>
        <v>1.8000000000000009</v>
      </c>
      <c r="B40" s="4">
        <v>4.93</v>
      </c>
      <c r="C40" s="4">
        <f t="shared" si="0"/>
        <v>197.17996045959484</v>
      </c>
    </row>
    <row r="41" spans="1:6" x14ac:dyDescent="0.35">
      <c r="A41" s="4">
        <f t="shared" si="1"/>
        <v>1.850000000000001</v>
      </c>
      <c r="B41" s="4">
        <v>4.93</v>
      </c>
      <c r="C41" s="4">
        <f t="shared" si="0"/>
        <v>197.17996045959484</v>
      </c>
    </row>
    <row r="42" spans="1:6" x14ac:dyDescent="0.35">
      <c r="A42" s="4">
        <f t="shared" si="1"/>
        <v>1.900000000000001</v>
      </c>
      <c r="B42" s="4">
        <v>4.92</v>
      </c>
      <c r="C42" s="4">
        <f t="shared" si="0"/>
        <v>197.21672200618056</v>
      </c>
    </row>
    <row r="43" spans="1:6" x14ac:dyDescent="0.35">
      <c r="A43" s="4">
        <f t="shared" si="1"/>
        <v>1.9500000000000011</v>
      </c>
      <c r="B43" s="4">
        <v>4.92</v>
      </c>
      <c r="C43" s="4">
        <f t="shared" si="0"/>
        <v>197.21672200618056</v>
      </c>
    </row>
    <row r="44" spans="1:6" x14ac:dyDescent="0.35">
      <c r="A44" s="4">
        <f t="shared" si="1"/>
        <v>2.0000000000000009</v>
      </c>
      <c r="B44" s="4">
        <v>4.92</v>
      </c>
      <c r="C44" s="4">
        <f t="shared" si="0"/>
        <v>197.21672200618056</v>
      </c>
    </row>
    <row r="46" spans="1:6" x14ac:dyDescent="0.35">
      <c r="C46" s="5" t="s">
        <v>29</v>
      </c>
    </row>
  </sheetData>
  <mergeCells count="1">
    <mergeCell ref="D10:D38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Signale</vt:lpstr>
      <vt:lpstr>NTC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Hoerner</dc:creator>
  <cp:lastModifiedBy>Michael Hoerner</cp:lastModifiedBy>
  <dcterms:created xsi:type="dcterms:W3CDTF">2026-07-07T12:18:38Z</dcterms:created>
  <dcterms:modified xsi:type="dcterms:W3CDTF">2026-07-08T09:29:28Z</dcterms:modified>
</cp:coreProperties>
</file>